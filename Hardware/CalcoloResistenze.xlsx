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aimon\GitHub\Prototipo-G4y\Hardware\G4y_SuperCap\"/>
    </mc:Choice>
  </mc:AlternateContent>
  <xr:revisionPtr revIDLastSave="0" documentId="13_ncr:1_{128C5FCA-AA29-4BFF-B6CE-8E7E5AE723BB}" xr6:coauthVersionLast="47" xr6:coauthVersionMax="47" xr10:uidLastSave="{00000000-0000-0000-0000-000000000000}"/>
  <bookViews>
    <workbookView xWindow="11130" yWindow="0" windowWidth="38400" windowHeight="21000" xr2:uid="{8838C4F6-377B-488B-B1C9-62578DFE288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" i="1" l="1"/>
  <c r="U7" i="1"/>
  <c r="U8" i="1"/>
  <c r="J11" i="1"/>
  <c r="J10" i="1"/>
  <c r="J38" i="1"/>
  <c r="J35" i="1"/>
  <c r="J32" i="1"/>
  <c r="J31" i="1"/>
  <c r="J28" i="1"/>
  <c r="J29" i="1" s="1"/>
  <c r="J23" i="1"/>
  <c r="J17" i="1"/>
  <c r="J4" i="1"/>
  <c r="J6" i="1"/>
  <c r="J7" i="1" s="1"/>
  <c r="J14" i="1"/>
  <c r="N10" i="1" l="1"/>
</calcChain>
</file>

<file path=xl/sharedStrings.xml><?xml version="1.0" encoding="utf-8"?>
<sst xmlns="http://schemas.openxmlformats.org/spreadsheetml/2006/main" count="90" uniqueCount="44">
  <si>
    <t>Vref</t>
  </si>
  <si>
    <t>VSETBK</t>
  </si>
  <si>
    <t>VBAT_TERM</t>
  </si>
  <si>
    <t>VSETPG_RISING</t>
  </si>
  <si>
    <t>VSETPG_FALLING</t>
  </si>
  <si>
    <t>VSETSD</t>
  </si>
  <si>
    <t>VSYS_CHG</t>
  </si>
  <si>
    <t>VSYS_TH</t>
  </si>
  <si>
    <t>0V</t>
  </si>
  <si>
    <t>Rsd1</t>
  </si>
  <si>
    <t>Rsd2</t>
  </si>
  <si>
    <t>RPG1</t>
  </si>
  <si>
    <t>RPG_HYST</t>
  </si>
  <si>
    <t>RPG2</t>
  </si>
  <si>
    <t>RBK1</t>
  </si>
  <si>
    <t>RBK2</t>
  </si>
  <si>
    <t>RTERM1</t>
  </si>
  <si>
    <t>RTERM2</t>
  </si>
  <si>
    <t>Termine carica</t>
  </si>
  <si>
    <t>PG alzato</t>
  </si>
  <si>
    <t>PG abbassato</t>
  </si>
  <si>
    <t>Protezione csarica batteria</t>
  </si>
  <si>
    <t>V cold start</t>
  </si>
  <si>
    <t>Passaggio dalla batteria di backup</t>
  </si>
  <si>
    <t>2,19</t>
  </si>
  <si>
    <t>1,87</t>
  </si>
  <si>
    <t>R5</t>
  </si>
  <si>
    <t>RR12</t>
  </si>
  <si>
    <t>R6</t>
  </si>
  <si>
    <t>R11</t>
  </si>
  <si>
    <t>R13</t>
  </si>
  <si>
    <t>R7</t>
  </si>
  <si>
    <t>R14</t>
  </si>
  <si>
    <t>R8</t>
  </si>
  <si>
    <t>R15</t>
  </si>
  <si>
    <t>Start Charging BAT Threshold on SYS</t>
  </si>
  <si>
    <t>VSYS_CHG_HYS</t>
  </si>
  <si>
    <t>VSETSD_HYS</t>
  </si>
  <si>
    <t>VBAT_TERM_HYS</t>
  </si>
  <si>
    <t>Demoboard value</t>
  </si>
  <si>
    <t>VSETPG_RISING VSETPG_FALLING</t>
  </si>
  <si>
    <t>r avab</t>
  </si>
  <si>
    <t>R12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</si>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</sst>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left"/>
    </xf>
    <xf numFmtId="2" fontId="0" fillId="0" borderId="0" xfId="0" quotePrefix="1" applyNumberFormat="1" applyAlignment="1">
      <alignment horizontal="center"/>
    </xf>
    <xf numFmtId="0" fontId="0" fillId="0" borderId="7" xfId="0" applyBorder="1"/>
    <xf numFmtId="2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0" xfId="0" quotePrefix="1" applyAlignment="1">
      <alignment horizontal="left" wrapText="1"/>
    </xf>
    <xf numFmtId="0" fontId="0" fillId="0" borderId="0" xfId="0" applyAlignment="1">
      <alignment horizontal="center"/>
    </xf>
    <xf numFmtId="0" fontId="0" fillId="0" borderId="2" xfId="0" quotePrefix="1" applyBorder="1" applyAlignment="1">
      <alignment horizontal="left"/>
    </xf>
    <xf numFmtId="2" fontId="0" fillId="0" borderId="2" xfId="0" applyNumberFormat="1" applyBorder="1" applyAlignment="1">
      <alignment horizontal="center"/>
    </xf>
    <xf numFmtId="0" fontId="0" fillId="0" borderId="7" xfId="0" quotePrefix="1" applyBorder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7" xfId="0" quotePrefix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left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5" xfId="0" applyNumberFormat="1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4" xfId="0" quotePrefix="1" applyBorder="1" applyAlignment="1">
      <alignment horizontal="left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9B2D-642A-46AC-9843-C71467281D4F}">
  <dimension ref="A1:U42"/>
  <sheetViews>
    <sheetView tabSelected="1" workbookViewId="0">
      <selection activeCell="C11" sqref="C11"/>
    </sheetView>
  </sheetViews>
  <sheetFormatPr defaultRowHeight="15" x14ac:dyDescent="0.25"/>
  <cols>
    <col min="1" max="1" width="9.140625" style="20"/>
    <col min="2" max="2" width="13.5703125" style="20" customWidth="1"/>
    <col min="3" max="6" width="9.140625" style="20"/>
    <col min="7" max="7" width="20" style="20" customWidth="1"/>
    <col min="9" max="9" width="25.140625" customWidth="1"/>
    <col min="10" max="10" width="7.85546875" style="11" customWidth="1"/>
    <col min="14" max="14" width="25.42578125" customWidth="1"/>
    <col min="20" max="20" width="15.7109375" customWidth="1"/>
    <col min="21" max="21" width="16.7109375" customWidth="1"/>
  </cols>
  <sheetData>
    <row r="1" spans="1:21" x14ac:dyDescent="0.25">
      <c r="A1" s="21"/>
      <c r="B1" s="17" t="s">
        <v>0</v>
      </c>
      <c r="C1" s="22">
        <v>1.0109999999999999</v>
      </c>
      <c r="D1" s="17"/>
      <c r="E1" s="17"/>
      <c r="F1" s="17"/>
      <c r="G1" s="17"/>
      <c r="H1" s="1"/>
      <c r="I1" s="1"/>
      <c r="J1" s="15"/>
      <c r="K1" s="1"/>
      <c r="L1" s="1"/>
      <c r="M1" s="1"/>
      <c r="N1" s="2"/>
    </row>
    <row r="2" spans="1:21" ht="15.75" thickBot="1" x14ac:dyDescent="0.3">
      <c r="A2" s="23"/>
      <c r="N2" s="3"/>
      <c r="P2" t="s">
        <v>41</v>
      </c>
    </row>
    <row r="3" spans="1:21" x14ac:dyDescent="0.25">
      <c r="A3" s="21" t="s">
        <v>31</v>
      </c>
      <c r="B3" s="17" t="s">
        <v>14</v>
      </c>
      <c r="C3" s="17">
        <v>0</v>
      </c>
      <c r="D3" s="17"/>
      <c r="E3" s="17"/>
      <c r="F3" s="17"/>
      <c r="G3" s="35" t="s">
        <v>1</v>
      </c>
      <c r="H3" s="1"/>
      <c r="I3" s="1"/>
      <c r="J3" s="13"/>
      <c r="K3" s="1"/>
      <c r="L3" s="1"/>
      <c r="M3" s="1"/>
      <c r="N3" s="2"/>
      <c r="P3">
        <v>0.15</v>
      </c>
      <c r="T3" s="36" t="s">
        <v>3</v>
      </c>
      <c r="U3" s="44">
        <v>3.8</v>
      </c>
    </row>
    <row r="4" spans="1:21" ht="15.75" thickBot="1" x14ac:dyDescent="0.3">
      <c r="A4" s="24" t="s">
        <v>32</v>
      </c>
      <c r="B4" s="19" t="s">
        <v>15</v>
      </c>
      <c r="C4" s="19">
        <v>0</v>
      </c>
      <c r="D4" s="19"/>
      <c r="E4" s="19"/>
      <c r="F4" s="19"/>
      <c r="G4" s="31"/>
      <c r="H4" s="7"/>
      <c r="I4" s="16" t="s">
        <v>1</v>
      </c>
      <c r="J4" s="8" t="e">
        <f>C1*(1+C3/C4)</f>
        <v>#DIV/0!</v>
      </c>
      <c r="K4" s="7"/>
      <c r="L4" s="7" t="s">
        <v>23</v>
      </c>
      <c r="M4" s="7"/>
      <c r="N4" s="9"/>
      <c r="P4">
        <v>0.221</v>
      </c>
      <c r="T4" s="38" t="s">
        <v>4</v>
      </c>
      <c r="U4" s="43">
        <v>2.5</v>
      </c>
    </row>
    <row r="5" spans="1:21" ht="15.75" thickBot="1" x14ac:dyDescent="0.3">
      <c r="A5" s="23"/>
      <c r="N5" s="3"/>
      <c r="P5">
        <v>2.3199999999999998</v>
      </c>
      <c r="T5" s="37"/>
      <c r="U5" s="39"/>
    </row>
    <row r="6" spans="1:21" x14ac:dyDescent="0.25">
      <c r="A6" s="21" t="s">
        <v>33</v>
      </c>
      <c r="B6" s="17" t="s">
        <v>16</v>
      </c>
      <c r="C6" s="17">
        <v>6.65</v>
      </c>
      <c r="D6" s="17"/>
      <c r="E6" s="17"/>
      <c r="F6" s="17"/>
      <c r="G6" s="35" t="s">
        <v>2</v>
      </c>
      <c r="H6" s="1"/>
      <c r="I6" s="12" t="s">
        <v>2</v>
      </c>
      <c r="J6" s="13">
        <f>(3/2)*C1*(1+C6/C7)</f>
        <v>5.4712941176470586</v>
      </c>
      <c r="K6" s="1"/>
      <c r="L6" s="1" t="s">
        <v>18</v>
      </c>
      <c r="M6" s="1"/>
      <c r="N6" s="2"/>
      <c r="P6">
        <v>2.5499999999999998</v>
      </c>
      <c r="T6" s="23" t="s">
        <v>11</v>
      </c>
      <c r="U6" s="42">
        <f>C9</f>
        <v>6.65</v>
      </c>
    </row>
    <row r="7" spans="1:21" ht="15.75" thickBot="1" x14ac:dyDescent="0.3">
      <c r="A7" s="24" t="s">
        <v>34</v>
      </c>
      <c r="B7" s="19" t="s">
        <v>17</v>
      </c>
      <c r="C7" s="19">
        <v>2.5499999999999998</v>
      </c>
      <c r="D7" s="19"/>
      <c r="E7" s="19"/>
      <c r="F7" s="19"/>
      <c r="G7" s="31"/>
      <c r="H7" s="7"/>
      <c r="I7" s="14" t="s">
        <v>38</v>
      </c>
      <c r="J7" s="8">
        <f>J6-(J6*0.03)</f>
        <v>5.3071552941176465</v>
      </c>
      <c r="K7" s="7"/>
      <c r="L7" s="7"/>
      <c r="M7" s="7"/>
      <c r="N7" s="9"/>
      <c r="P7">
        <v>2.7</v>
      </c>
      <c r="T7" s="23" t="s">
        <v>12</v>
      </c>
      <c r="U7" s="40">
        <f>-1*(C9*(U4-U3))/((U4-1)*U3)</f>
        <v>1.5166666666666668</v>
      </c>
    </row>
    <row r="8" spans="1:21" ht="15.75" thickBot="1" x14ac:dyDescent="0.3">
      <c r="A8" s="23"/>
      <c r="I8" s="10"/>
      <c r="J8" s="4"/>
      <c r="N8" s="3"/>
      <c r="P8">
        <v>3.32</v>
      </c>
      <c r="T8" s="24" t="s">
        <v>13</v>
      </c>
      <c r="U8" s="41">
        <f>(C9*U4)/((U4-1)*U3)</f>
        <v>2.916666666666667</v>
      </c>
    </row>
    <row r="9" spans="1:21" x14ac:dyDescent="0.25">
      <c r="A9" s="21" t="s">
        <v>28</v>
      </c>
      <c r="B9" s="17" t="s">
        <v>11</v>
      </c>
      <c r="C9" s="17">
        <v>6.65</v>
      </c>
      <c r="D9" s="17"/>
      <c r="E9" s="17"/>
      <c r="F9" s="17"/>
      <c r="G9" s="32" t="s">
        <v>40</v>
      </c>
      <c r="H9" s="1"/>
      <c r="I9" s="1"/>
      <c r="J9" s="15"/>
      <c r="K9" s="1"/>
      <c r="L9" s="1"/>
      <c r="M9" s="1"/>
      <c r="N9" s="2"/>
      <c r="P9">
        <v>3.48</v>
      </c>
    </row>
    <row r="10" spans="1:21" x14ac:dyDescent="0.25">
      <c r="A10" s="23" t="s">
        <v>29</v>
      </c>
      <c r="B10" s="20" t="s">
        <v>12</v>
      </c>
      <c r="C10" s="20">
        <v>1.5</v>
      </c>
      <c r="E10" s="28" t="s">
        <v>43</v>
      </c>
      <c r="G10" s="33"/>
      <c r="I10" s="5" t="s">
        <v>3</v>
      </c>
      <c r="J10" s="4">
        <f>C1 * (1+(C9+C10)/C11)</f>
        <v>3.7575499999999997</v>
      </c>
      <c r="L10" t="s">
        <v>19</v>
      </c>
      <c r="N10" s="29">
        <f>J10-J11</f>
        <v>1.2525166666666667</v>
      </c>
      <c r="P10">
        <v>3.74</v>
      </c>
    </row>
    <row r="11" spans="1:21" ht="15.75" thickBot="1" x14ac:dyDescent="0.3">
      <c r="A11" s="24" t="s">
        <v>30</v>
      </c>
      <c r="B11" s="19" t="s">
        <v>13</v>
      </c>
      <c r="C11" s="19">
        <v>3</v>
      </c>
      <c r="D11" s="19"/>
      <c r="E11" s="27"/>
      <c r="F11" s="19"/>
      <c r="G11" s="34"/>
      <c r="H11" s="7"/>
      <c r="I11" s="16" t="s">
        <v>4</v>
      </c>
      <c r="J11" s="8">
        <f>C1*(1+(C9/(C11+C10)))</f>
        <v>2.505033333333333</v>
      </c>
      <c r="K11" s="7"/>
      <c r="L11" s="7" t="s">
        <v>20</v>
      </c>
      <c r="M11" s="7"/>
      <c r="N11" s="9"/>
      <c r="P11">
        <v>4.7</v>
      </c>
    </row>
    <row r="12" spans="1:21" ht="15.75" thickBot="1" x14ac:dyDescent="0.3">
      <c r="A12" s="23"/>
      <c r="N12" s="3"/>
      <c r="P12">
        <v>9.1</v>
      </c>
    </row>
    <row r="13" spans="1:21" x14ac:dyDescent="0.25">
      <c r="A13" s="21" t="s">
        <v>26</v>
      </c>
      <c r="B13" s="17" t="s">
        <v>9</v>
      </c>
      <c r="C13" s="17">
        <v>6.65</v>
      </c>
      <c r="D13" s="17"/>
      <c r="E13" s="17"/>
      <c r="F13" s="17"/>
      <c r="G13" s="30" t="s">
        <v>5</v>
      </c>
      <c r="H13" s="1"/>
      <c r="I13" s="18" t="s">
        <v>37</v>
      </c>
      <c r="J13" s="13"/>
      <c r="K13" s="1"/>
      <c r="L13" s="1"/>
      <c r="M13" s="1"/>
      <c r="N13" s="2"/>
      <c r="P13">
        <v>10</v>
      </c>
    </row>
    <row r="14" spans="1:21" ht="15.75" thickBot="1" x14ac:dyDescent="0.3">
      <c r="A14" s="26" t="s">
        <v>42</v>
      </c>
      <c r="B14" s="19" t="s">
        <v>10</v>
      </c>
      <c r="C14" s="19">
        <v>4.7</v>
      </c>
      <c r="D14" s="19"/>
      <c r="E14" s="27"/>
      <c r="F14" s="19"/>
      <c r="G14" s="31"/>
      <c r="H14" s="7"/>
      <c r="I14" s="7" t="s">
        <v>5</v>
      </c>
      <c r="J14" s="8">
        <f>C1*(1+C13/C14)</f>
        <v>2.4414574468085108</v>
      </c>
      <c r="K14" s="7"/>
      <c r="L14" s="7" t="s">
        <v>21</v>
      </c>
      <c r="M14" s="7"/>
      <c r="N14" s="9"/>
      <c r="P14">
        <v>18</v>
      </c>
    </row>
    <row r="15" spans="1:21" x14ac:dyDescent="0.25">
      <c r="A15" s="23"/>
      <c r="N15" s="3"/>
    </row>
    <row r="16" spans="1:21" x14ac:dyDescent="0.25">
      <c r="A16" s="23"/>
      <c r="I16" s="5" t="s">
        <v>6</v>
      </c>
      <c r="J16" s="6" t="s">
        <v>24</v>
      </c>
      <c r="L16" t="s">
        <v>35</v>
      </c>
      <c r="N16" s="3"/>
    </row>
    <row r="17" spans="1:14" x14ac:dyDescent="0.25">
      <c r="A17" s="23"/>
      <c r="I17" s="10" t="s">
        <v>36</v>
      </c>
      <c r="J17" s="6">
        <f>J16-0.15</f>
        <v>2.04</v>
      </c>
      <c r="N17" s="3"/>
    </row>
    <row r="18" spans="1:14" x14ac:dyDescent="0.25">
      <c r="A18" s="23"/>
      <c r="J18" s="4"/>
      <c r="N18" s="3"/>
    </row>
    <row r="19" spans="1:14" x14ac:dyDescent="0.25">
      <c r="A19" s="23"/>
      <c r="I19" s="5" t="s">
        <v>7</v>
      </c>
      <c r="J19" s="6" t="s">
        <v>25</v>
      </c>
      <c r="L19" s="5" t="s">
        <v>22</v>
      </c>
      <c r="N19" s="3"/>
    </row>
    <row r="20" spans="1:14" x14ac:dyDescent="0.25">
      <c r="A20" s="23"/>
      <c r="J20" s="4"/>
      <c r="N20" s="3"/>
    </row>
    <row r="21" spans="1:14" ht="15.75" thickBot="1" x14ac:dyDescent="0.3">
      <c r="A21" s="24"/>
      <c r="B21" s="19"/>
      <c r="C21" s="19"/>
      <c r="D21" s="19"/>
      <c r="E21" s="19"/>
      <c r="F21" s="19"/>
      <c r="G21" s="19"/>
      <c r="H21" s="7"/>
      <c r="I21" s="7" t="s">
        <v>8</v>
      </c>
      <c r="J21" s="8"/>
      <c r="K21" s="7"/>
      <c r="L21" s="7"/>
      <c r="M21" s="7"/>
      <c r="N21" s="9"/>
    </row>
    <row r="22" spans="1:14" ht="15.75" thickBot="1" x14ac:dyDescent="0.3">
      <c r="A22" s="20" t="s">
        <v>39</v>
      </c>
    </row>
    <row r="23" spans="1:14" x14ac:dyDescent="0.25">
      <c r="A23" s="21"/>
      <c r="B23" s="17" t="s">
        <v>0</v>
      </c>
      <c r="C23" s="22">
        <v>1.0109999999999999</v>
      </c>
      <c r="D23" s="17"/>
      <c r="E23" s="17"/>
      <c r="F23" s="17"/>
      <c r="G23" s="17"/>
      <c r="H23" s="1"/>
      <c r="I23" s="5" t="s">
        <v>1</v>
      </c>
      <c r="J23" s="4">
        <f>C23*(1+C32/C33)</f>
        <v>2.5300149253731341</v>
      </c>
      <c r="L23" t="s">
        <v>23</v>
      </c>
      <c r="N23" s="2"/>
    </row>
    <row r="24" spans="1:14" x14ac:dyDescent="0.25">
      <c r="A24" s="23"/>
      <c r="N24" s="3"/>
    </row>
    <row r="25" spans="1:14" x14ac:dyDescent="0.25">
      <c r="A25" s="23" t="s">
        <v>26</v>
      </c>
      <c r="B25" s="20" t="s">
        <v>9</v>
      </c>
      <c r="C25" s="20">
        <v>5.9</v>
      </c>
      <c r="E25" s="20">
        <v>6.65</v>
      </c>
      <c r="J25" s="4"/>
      <c r="N25" s="3"/>
    </row>
    <row r="26" spans="1:14" x14ac:dyDescent="0.25">
      <c r="A26" s="23" t="s">
        <v>27</v>
      </c>
      <c r="B26" s="20" t="s">
        <v>10</v>
      </c>
      <c r="C26" s="20">
        <v>4.12</v>
      </c>
      <c r="E26" s="20">
        <v>3.48</v>
      </c>
      <c r="N26" s="3"/>
    </row>
    <row r="27" spans="1:14" x14ac:dyDescent="0.25">
      <c r="A27" s="23"/>
      <c r="N27" s="3"/>
    </row>
    <row r="28" spans="1:14" x14ac:dyDescent="0.25">
      <c r="A28" s="23" t="s">
        <v>28</v>
      </c>
      <c r="B28" s="20" t="s">
        <v>11</v>
      </c>
      <c r="C28" s="20">
        <v>6.19</v>
      </c>
      <c r="E28" s="20">
        <v>6.65</v>
      </c>
      <c r="I28" t="s">
        <v>2</v>
      </c>
      <c r="J28" s="4">
        <f>(3/2)*C23*(1+C35/C36)</f>
        <v>3.6881868932038828</v>
      </c>
      <c r="L28" t="s">
        <v>18</v>
      </c>
      <c r="N28" s="3"/>
    </row>
    <row r="29" spans="1:14" x14ac:dyDescent="0.25">
      <c r="A29" s="23" t="s">
        <v>29</v>
      </c>
      <c r="B29" s="20" t="s">
        <v>12</v>
      </c>
      <c r="C29" s="20">
        <v>0.1</v>
      </c>
      <c r="E29" s="20">
        <v>1</v>
      </c>
      <c r="I29" s="10" t="s">
        <v>38</v>
      </c>
      <c r="J29" s="4">
        <f>J28-(J28*0.03)</f>
        <v>3.5775412864077665</v>
      </c>
      <c r="N29" s="3"/>
    </row>
    <row r="30" spans="1:14" x14ac:dyDescent="0.25">
      <c r="A30" s="23" t="s">
        <v>30</v>
      </c>
      <c r="B30" s="20" t="s">
        <v>13</v>
      </c>
      <c r="C30" s="20">
        <v>3.83</v>
      </c>
      <c r="E30" s="20">
        <v>2.3199999999999998</v>
      </c>
      <c r="N30" s="3"/>
    </row>
    <row r="31" spans="1:14" x14ac:dyDescent="0.25">
      <c r="A31" s="23"/>
      <c r="I31" t="s">
        <v>3</v>
      </c>
      <c r="J31" s="4">
        <f>C23 * (1+(C28+C29)/C30)</f>
        <v>2.6713629242819841</v>
      </c>
      <c r="L31" t="s">
        <v>19</v>
      </c>
      <c r="N31" s="3"/>
    </row>
    <row r="32" spans="1:14" x14ac:dyDescent="0.25">
      <c r="A32" s="23" t="s">
        <v>31</v>
      </c>
      <c r="B32" s="20" t="s">
        <v>14</v>
      </c>
      <c r="C32" s="20">
        <v>6.04</v>
      </c>
      <c r="E32" s="20">
        <v>6.65</v>
      </c>
      <c r="I32" t="s">
        <v>4</v>
      </c>
      <c r="J32" s="4">
        <f>C23*(1+(C28/(C30+C29)))</f>
        <v>2.6033893129770993</v>
      </c>
      <c r="L32" t="s">
        <v>20</v>
      </c>
      <c r="N32" s="3"/>
    </row>
    <row r="33" spans="1:14" x14ac:dyDescent="0.25">
      <c r="A33" s="23" t="s">
        <v>32</v>
      </c>
      <c r="B33" s="20" t="s">
        <v>15</v>
      </c>
      <c r="C33" s="20">
        <v>4.0199999999999996</v>
      </c>
      <c r="E33" s="20">
        <v>3.32</v>
      </c>
      <c r="N33" s="3"/>
    </row>
    <row r="34" spans="1:14" x14ac:dyDescent="0.25">
      <c r="A34" s="23"/>
      <c r="I34" s="10" t="s">
        <v>37</v>
      </c>
      <c r="J34" s="4"/>
      <c r="N34" s="3"/>
    </row>
    <row r="35" spans="1:14" x14ac:dyDescent="0.25">
      <c r="A35" s="23" t="s">
        <v>33</v>
      </c>
      <c r="B35" s="20" t="s">
        <v>16</v>
      </c>
      <c r="C35" s="20">
        <v>5.9</v>
      </c>
      <c r="E35" s="20">
        <v>6.65</v>
      </c>
      <c r="I35" t="s">
        <v>5</v>
      </c>
      <c r="J35" s="4">
        <f>C23*(1+C25/C26)</f>
        <v>2.458791262135922</v>
      </c>
      <c r="L35" t="s">
        <v>21</v>
      </c>
      <c r="N35" s="3"/>
    </row>
    <row r="36" spans="1:14" x14ac:dyDescent="0.25">
      <c r="A36" s="23" t="s">
        <v>34</v>
      </c>
      <c r="B36" s="20" t="s">
        <v>17</v>
      </c>
      <c r="C36" s="20">
        <v>4.12</v>
      </c>
      <c r="E36" s="20">
        <v>3.74</v>
      </c>
    </row>
    <row r="37" spans="1:14" x14ac:dyDescent="0.25">
      <c r="A37" s="23"/>
      <c r="B37" s="25"/>
      <c r="I37" s="5" t="s">
        <v>6</v>
      </c>
      <c r="J37" s="6" t="s">
        <v>24</v>
      </c>
      <c r="L37" t="s">
        <v>35</v>
      </c>
      <c r="N37" s="3"/>
    </row>
    <row r="38" spans="1:14" x14ac:dyDescent="0.25">
      <c r="A38" s="23"/>
      <c r="B38" s="25"/>
      <c r="I38" s="10" t="s">
        <v>36</v>
      </c>
      <c r="J38" s="6">
        <f>J37-0.15</f>
        <v>2.04</v>
      </c>
      <c r="N38" s="3"/>
    </row>
    <row r="39" spans="1:14" x14ac:dyDescent="0.25">
      <c r="A39" s="23"/>
      <c r="J39" s="4"/>
      <c r="N39" s="3"/>
    </row>
    <row r="40" spans="1:14" x14ac:dyDescent="0.25">
      <c r="A40" s="23"/>
      <c r="I40" s="5" t="s">
        <v>7</v>
      </c>
      <c r="J40" s="6" t="s">
        <v>25</v>
      </c>
      <c r="L40" s="5" t="s">
        <v>22</v>
      </c>
      <c r="N40" s="3"/>
    </row>
    <row r="41" spans="1:14" x14ac:dyDescent="0.25">
      <c r="A41" s="23"/>
      <c r="J41" s="4"/>
      <c r="N41" s="3"/>
    </row>
    <row r="42" spans="1:14" ht="15.75" thickBot="1" x14ac:dyDescent="0.3">
      <c r="A42" s="24"/>
      <c r="B42" s="19"/>
      <c r="C42" s="19"/>
      <c r="D42" s="19"/>
      <c r="E42" s="19"/>
      <c r="F42" s="19"/>
      <c r="G42" s="19"/>
      <c r="H42" s="7"/>
      <c r="I42" s="7" t="s">
        <v>8</v>
      </c>
      <c r="J42" s="8"/>
      <c r="K42" s="7"/>
      <c r="L42" s="7"/>
      <c r="M42" s="7"/>
      <c r="N42" s="9"/>
    </row>
  </sheetData>
  <mergeCells count="4">
    <mergeCell ref="G13:G14"/>
    <mergeCell ref="G9:G11"/>
    <mergeCell ref="G3:G4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Caron</dc:creator>
  <cp:lastModifiedBy>Simone Caron</cp:lastModifiedBy>
  <dcterms:created xsi:type="dcterms:W3CDTF">2021-10-18T15:13:58Z</dcterms:created>
  <dcterms:modified xsi:type="dcterms:W3CDTF">2023-11-01T09:14:03Z</dcterms:modified>
</cp:coreProperties>
</file>